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1_AB4D5390DC710DE5F47902A141BA2FA895E24026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N" sheetId="1" r:id="rId1"/>
    <sheet name="EUR" sheetId="2" r:id="rId2"/>
    <sheet name="USD" sheetId="3" r:id="rId3"/>
    <sheet name="GBP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4" l="1"/>
  <c r="F11" i="4" s="1"/>
  <c r="F10" i="4"/>
  <c r="D10" i="4"/>
  <c r="F9" i="4"/>
  <c r="D9" i="4"/>
  <c r="D8" i="4"/>
  <c r="F8" i="4" s="1"/>
  <c r="D7" i="4"/>
  <c r="F7" i="4" s="1"/>
  <c r="F6" i="4"/>
  <c r="D6" i="4"/>
  <c r="F5" i="4"/>
  <c r="D5" i="4"/>
  <c r="D4" i="4"/>
  <c r="F4" i="4" s="1"/>
  <c r="F11" i="3"/>
  <c r="D11" i="3"/>
  <c r="F10" i="3"/>
  <c r="D10" i="3"/>
  <c r="D9" i="3"/>
  <c r="F9" i="3" s="1"/>
  <c r="D8" i="3"/>
  <c r="F8" i="3" s="1"/>
  <c r="F7" i="3"/>
  <c r="D7" i="3"/>
  <c r="F6" i="3"/>
  <c r="D6" i="3"/>
  <c r="D5" i="3"/>
  <c r="F5" i="3" s="1"/>
  <c r="D4" i="3"/>
  <c r="F4" i="3" s="1"/>
  <c r="F11" i="2"/>
  <c r="D11" i="2"/>
  <c r="D10" i="2"/>
  <c r="F10" i="2" s="1"/>
  <c r="D9" i="2"/>
  <c r="F9" i="2" s="1"/>
  <c r="F8" i="2"/>
  <c r="D8" i="2"/>
  <c r="F7" i="2"/>
  <c r="D7" i="2"/>
  <c r="D6" i="2"/>
  <c r="F6" i="2" s="1"/>
  <c r="D5" i="2"/>
  <c r="F5" i="2" s="1"/>
  <c r="F4" i="2"/>
  <c r="F12" i="2" s="1"/>
  <c r="D4" i="2"/>
  <c r="D32" i="1"/>
  <c r="F32" i="1" s="1"/>
  <c r="D31" i="1"/>
  <c r="F31" i="1" s="1"/>
  <c r="F30" i="1"/>
  <c r="D30" i="1"/>
  <c r="F29" i="1"/>
  <c r="D29" i="1"/>
  <c r="D28" i="1"/>
  <c r="F28" i="1" s="1"/>
  <c r="D27" i="1"/>
  <c r="F27" i="1" s="1"/>
  <c r="F26" i="1"/>
  <c r="D26" i="1"/>
  <c r="F25" i="1"/>
  <c r="D25" i="1"/>
  <c r="D24" i="1"/>
  <c r="F24" i="1" s="1"/>
  <c r="D23" i="1"/>
  <c r="F23" i="1" s="1"/>
  <c r="F22" i="1"/>
  <c r="D22" i="1"/>
  <c r="F21" i="1"/>
  <c r="D21" i="1"/>
  <c r="D20" i="1"/>
  <c r="F20" i="1" s="1"/>
  <c r="D19" i="1"/>
  <c r="F19" i="1" s="1"/>
  <c r="F18" i="1"/>
  <c r="D18" i="1"/>
  <c r="F17" i="1"/>
  <c r="D17" i="1"/>
  <c r="D16" i="1"/>
  <c r="F16" i="1" s="1"/>
  <c r="D15" i="1"/>
  <c r="F15" i="1" s="1"/>
  <c r="F14" i="1"/>
  <c r="D14" i="1"/>
  <c r="F13" i="1"/>
  <c r="D13" i="1"/>
  <c r="D12" i="1"/>
  <c r="F12" i="1" s="1"/>
  <c r="D11" i="1"/>
  <c r="F11" i="1" s="1"/>
  <c r="F10" i="1"/>
  <c r="D10" i="1"/>
  <c r="F9" i="1"/>
  <c r="D9" i="1"/>
  <c r="D8" i="1"/>
  <c r="F8" i="1" s="1"/>
  <c r="D7" i="1"/>
  <c r="F7" i="1" s="1"/>
  <c r="F6" i="1"/>
  <c r="D6" i="1"/>
  <c r="F5" i="1"/>
  <c r="D5" i="1"/>
  <c r="D4" i="1"/>
  <c r="F4" i="1" s="1"/>
  <c r="F12" i="3" l="1"/>
  <c r="D12" i="3"/>
  <c r="F33" i="1"/>
  <c r="D33" i="1"/>
  <c r="F12" i="4"/>
  <c r="D12" i="4"/>
  <c r="D12" i="2"/>
</calcChain>
</file>

<file path=xl/sharedStrings.xml><?xml version="1.0" encoding="utf-8"?>
<sst xmlns="http://schemas.openxmlformats.org/spreadsheetml/2006/main" count="146" uniqueCount="76">
  <si>
    <t>Testy PLN — PL_TEKST_FAKTURA</t>
  </si>
  <si>
    <t>Kolumna D = wynik formuły  |  Kolumna E = oczekiwany wynik  |  Kolumna F = status</t>
  </si>
  <si>
    <t>#</t>
  </si>
  <si>
    <t>Kategoria</t>
  </si>
  <si>
    <t>Wartość</t>
  </si>
  <si>
    <t>Wynik PL_TEKST_FAKTURA</t>
  </si>
  <si>
    <t>Oczekiwany wynik</t>
  </si>
  <si>
    <t>Status</t>
  </si>
  <si>
    <t>Zero</t>
  </si>
  <si>
    <t>Zero złotych i zero groszy</t>
  </si>
  <si>
    <t>Jedności</t>
  </si>
  <si>
    <t>Jeden złoty i zero groszy</t>
  </si>
  <si>
    <t>Dwa złote i zero groszy</t>
  </si>
  <si>
    <t>Pięć złotych i zero groszy</t>
  </si>
  <si>
    <t>Nastolatki</t>
  </si>
  <si>
    <t>Jedenaście złotych i zero groszy</t>
  </si>
  <si>
    <t>Dwanaście złotych i zero groszy</t>
  </si>
  <si>
    <t>Dziesiątki</t>
  </si>
  <si>
    <t>Dwadzieścia jeden złotych i zero groszy</t>
  </si>
  <si>
    <t>Dwadzieścia dwa złote i zero groszy</t>
  </si>
  <si>
    <t>Setki</t>
  </si>
  <si>
    <t>Sto złotych i zero groszy</t>
  </si>
  <si>
    <t>Dwieście złotych i zero groszy</t>
  </si>
  <si>
    <t>Tysiące</t>
  </si>
  <si>
    <t>Tysiąc złotych i zero groszy</t>
  </si>
  <si>
    <t>Dwa tysiące złotych i zero groszy</t>
  </si>
  <si>
    <t>Jedenaście tysięcy złotych i zero groszy</t>
  </si>
  <si>
    <t>Dwadzieścia dwa tysiące złotych i zero groszy</t>
  </si>
  <si>
    <t>Miliony</t>
  </si>
  <si>
    <t>Jeden milion złotych i zero groszy</t>
  </si>
  <si>
    <t>Dwa miliony złotych i zero groszy</t>
  </si>
  <si>
    <t>Grosze</t>
  </si>
  <si>
    <t>Zero złotych i jeden grosz</t>
  </si>
  <si>
    <t>Zero złotych i dwa grosze</t>
  </si>
  <si>
    <t>Zero złotych i pięć groszy</t>
  </si>
  <si>
    <t>Zero złotych i jedenaście groszy</t>
  </si>
  <si>
    <t>Zero złotych i dwadzieścia jeden groszy</t>
  </si>
  <si>
    <t>Jeden złoty i jeden grosz</t>
  </si>
  <si>
    <t>Jeden złoty i dwa grosze</t>
  </si>
  <si>
    <t>Jeden złoty i jedenaście groszy</t>
  </si>
  <si>
    <t>Tysiąc dwieście trzydzieści cztery złote i sześćdziesiąt siedem groszy</t>
  </si>
  <si>
    <t>Zaokrąglenie</t>
  </si>
  <si>
    <t>Maksimum</t>
  </si>
  <si>
    <t>Dziewięćset dziewięćdziesiąt dziewięć milionów dziewięćset dziewięćdziesiąt dziewięć tysięcy dziewięćset dziewięćdziesiąt dziewięć złotych i dziewięćdziesiąt dziewięć groszy</t>
  </si>
  <si>
    <t>Błędy</t>
  </si>
  <si>
    <t>Blad: ujemna liczba</t>
  </si>
  <si>
    <t>Blad: liczba zbyt duza (max 999 999 999,99)</t>
  </si>
  <si>
    <t>PODSUMOWANIE</t>
  </si>
  <si>
    <t>testów OK</t>
  </si>
  <si>
    <t>Testy EUR — PL_TEKST_FAKTURA</t>
  </si>
  <si>
    <t>Zero euro i zero centów</t>
  </si>
  <si>
    <t>Jeden euro i zero centów</t>
  </si>
  <si>
    <t>Dwa euro i zero centów</t>
  </si>
  <si>
    <t>Pięć euro i zero centów</t>
  </si>
  <si>
    <t>Zero euro i jeden cent</t>
  </si>
  <si>
    <t>Zero euro i dwa centy</t>
  </si>
  <si>
    <t>Zero euro i pięć centów</t>
  </si>
  <si>
    <t>Tysiąc dwieście trzydzieści cztery euro i sześćdziesiąt siedem centów</t>
  </si>
  <si>
    <t>Testy USD — PL_TEKST_FAKTURA</t>
  </si>
  <si>
    <t>Zero dolarów i zero centów</t>
  </si>
  <si>
    <t>Jeden dolar i zero centów</t>
  </si>
  <si>
    <t>Dwa dolary i zero centów</t>
  </si>
  <si>
    <t>Pięć dolarów i zero centów</t>
  </si>
  <si>
    <t>Zero dolarów i jeden cent</t>
  </si>
  <si>
    <t>Zero dolarów i dwa centy</t>
  </si>
  <si>
    <t>Zero dolarów i pięć centów</t>
  </si>
  <si>
    <t>Tysiąc dwieście trzydzieści cztery dolary i sześćdziesiąt siedem centów</t>
  </si>
  <si>
    <t>Testy GBP — PL_TEKST_FAKTURA</t>
  </si>
  <si>
    <t>Zero funtów i zero pensów</t>
  </si>
  <si>
    <t>Jeden funt i zero pensów</t>
  </si>
  <si>
    <t>Dwa funty i zero pensów</t>
  </si>
  <si>
    <t>Pięć funtów i zero pensów</t>
  </si>
  <si>
    <t>Zero funtów i jeden pens</t>
  </si>
  <si>
    <t>Zero funtów i dwa pensy</t>
  </si>
  <si>
    <t>Zero funtów i pięć pensów</t>
  </si>
  <si>
    <t>Tysiąc dwieście trzydzieści cztery funty i sześćdziesiąt siedem pensów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</si>
</sst>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i/>
      <sz val="10"/>
      <color rgb="FFFFFFFF"/>
      <name val="Calibri"/>
    </font>
    <font>
      <b/>
      <sz val="11"/>
      <color rgb="FFFFFFFF"/>
      <name val="Calibri"/>
    </font>
    <font>
      <sz val="10"/>
      <color rgb="FF595959"/>
      <name val="Calibri"/>
    </font>
    <font>
      <b/>
      <sz val="10"/>
      <color rgb="FF2E75B6"/>
      <name val="Calibri"/>
    </font>
    <font>
      <b/>
      <sz val="10"/>
      <color rgb="FF0070C0"/>
      <name val="Calibri"/>
    </font>
    <font>
      <sz val="9"/>
      <name val="Courier New"/>
    </font>
    <font>
      <sz val="10"/>
      <color rgb="FF375623"/>
      <name val="Calibri"/>
    </font>
    <font>
      <b/>
      <sz val="10"/>
      <name val="Calibri"/>
    </font>
    <font>
      <b/>
      <sz val="11"/>
      <color rgb="FFFFFFFF"/>
      <name val="Calibri"/>
    </font>
    <font>
      <b/>
      <sz val="11"/>
      <color rgb="FF375623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5" fillId="4" borderId="1" xfId="0" applyFont="1" applyFill="1" applyBorder="1"/>
    <xf numFmtId="4" fontId="6" fillId="4" borderId="1" xfId="0" applyNumberFormat="1" applyFont="1" applyFill="1" applyBorder="1" applyAlignment="1">
      <alignment horizontal="right"/>
    </xf>
    <xf numFmtId="0" fontId="7" fillId="4" borderId="1" xfId="0" applyFont="1" applyFill="1" applyBorder="1" applyAlignment="1">
      <alignment horizontal="left" wrapText="1"/>
    </xf>
    <xf numFmtId="0" fontId="8" fillId="5" borderId="1" xfId="0" applyFont="1" applyFill="1" applyBorder="1" applyAlignment="1">
      <alignment horizontal="left" wrapText="1"/>
    </xf>
    <xf numFmtId="0" fontId="9" fillId="4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/>
    <xf numFmtId="4" fontId="6" fillId="6" borderId="1" xfId="0" applyNumberFormat="1" applyFont="1" applyFill="1" applyBorder="1" applyAlignment="1">
      <alignment horizontal="right"/>
    </xf>
    <xf numFmtId="0" fontId="7" fillId="6" borderId="1" xfId="0" applyFont="1" applyFill="1" applyBorder="1" applyAlignment="1">
      <alignment horizontal="left" wrapText="1"/>
    </xf>
    <xf numFmtId="0" fontId="9" fillId="6" borderId="1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0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33"/>
  <sheetViews>
    <sheetView showGridLines="0" tabSelected="1"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14" customWidth="1"/>
    <col min="3" max="3" width="18" customWidth="1"/>
    <col min="4" max="5" width="62" customWidth="1"/>
    <col min="6" max="6" width="14" customWidth="1"/>
  </cols>
  <sheetData>
    <row r="1" spans="1:6" ht="30" customHeight="1" x14ac:dyDescent="0.25">
      <c r="A1" s="19" t="s">
        <v>0</v>
      </c>
      <c r="B1" s="17"/>
      <c r="C1" s="17"/>
      <c r="D1" s="17"/>
      <c r="E1" s="17"/>
      <c r="F1" s="17"/>
    </row>
    <row r="2" spans="1:6" ht="18" customHeight="1" x14ac:dyDescent="0.25">
      <c r="A2" s="16" t="s">
        <v>1</v>
      </c>
      <c r="B2" s="17"/>
      <c r="C2" s="17"/>
      <c r="D2" s="17"/>
      <c r="E2" s="17"/>
      <c r="F2" s="17"/>
    </row>
    <row r="3" spans="1:6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20.100000000000001" customHeight="1" x14ac:dyDescent="0.25">
      <c r="A4" s="2">
        <v>1</v>
      </c>
      <c r="B4" s="3" t="s">
        <v>8</v>
      </c>
      <c r="C4" s="4">
        <v>0</v>
      </c>
      <c r="D4" s="5" t="e">
        <f t="shared" ref="D4:D32" ca="1" si="0">PL_TEKST_FAKTURA(C4)</f>
        <v>#NAME?</v>
      </c>
      <c r="E4" s="6" t="s">
        <v>9</v>
      </c>
      <c r="F4" s="7" t="e">
        <f t="shared" ref="F4:F32" ca="1" si="1">IF(D4=E4,"✅ OK","❌ SPRAWDŹ")</f>
        <v>#NAME?</v>
      </c>
    </row>
    <row r="5" spans="1:6" ht="20.100000000000001" customHeight="1" x14ac:dyDescent="0.25">
      <c r="A5" s="8">
        <v>2</v>
      </c>
      <c r="B5" s="9" t="s">
        <v>10</v>
      </c>
      <c r="C5" s="10">
        <v>1</v>
      </c>
      <c r="D5" s="11" t="e">
        <f t="shared" ca="1" si="0"/>
        <v>#NAME?</v>
      </c>
      <c r="E5" s="6" t="s">
        <v>11</v>
      </c>
      <c r="F5" s="12" t="e">
        <f t="shared" ca="1" si="1"/>
        <v>#NAME?</v>
      </c>
    </row>
    <row r="6" spans="1:6" ht="20.100000000000001" customHeight="1" x14ac:dyDescent="0.25">
      <c r="A6" s="2">
        <v>3</v>
      </c>
      <c r="B6" s="3" t="s">
        <v>10</v>
      </c>
      <c r="C6" s="4">
        <v>2</v>
      </c>
      <c r="D6" s="5" t="e">
        <f t="shared" ca="1" si="0"/>
        <v>#NAME?</v>
      </c>
      <c r="E6" s="6" t="s">
        <v>12</v>
      </c>
      <c r="F6" s="7" t="e">
        <f t="shared" ca="1" si="1"/>
        <v>#NAME?</v>
      </c>
    </row>
    <row r="7" spans="1:6" ht="20.100000000000001" customHeight="1" x14ac:dyDescent="0.25">
      <c r="A7" s="8">
        <v>4</v>
      </c>
      <c r="B7" s="9" t="s">
        <v>10</v>
      </c>
      <c r="C7" s="10">
        <v>5</v>
      </c>
      <c r="D7" s="11" t="e">
        <f t="shared" ca="1" si="0"/>
        <v>#NAME?</v>
      </c>
      <c r="E7" s="6" t="s">
        <v>13</v>
      </c>
      <c r="F7" s="12" t="e">
        <f t="shared" ca="1" si="1"/>
        <v>#NAME?</v>
      </c>
    </row>
    <row r="8" spans="1:6" ht="20.100000000000001" customHeight="1" x14ac:dyDescent="0.25">
      <c r="A8" s="2">
        <v>5</v>
      </c>
      <c r="B8" s="3" t="s">
        <v>14</v>
      </c>
      <c r="C8" s="4">
        <v>11</v>
      </c>
      <c r="D8" s="5" t="e">
        <f t="shared" ca="1" si="0"/>
        <v>#NAME?</v>
      </c>
      <c r="E8" s="6" t="s">
        <v>15</v>
      </c>
      <c r="F8" s="7" t="e">
        <f t="shared" ca="1" si="1"/>
        <v>#NAME?</v>
      </c>
    </row>
    <row r="9" spans="1:6" ht="20.100000000000001" customHeight="1" x14ac:dyDescent="0.25">
      <c r="A9" s="8">
        <v>6</v>
      </c>
      <c r="B9" s="9" t="s">
        <v>14</v>
      </c>
      <c r="C9" s="10">
        <v>12</v>
      </c>
      <c r="D9" s="11" t="e">
        <f t="shared" ca="1" si="0"/>
        <v>#NAME?</v>
      </c>
      <c r="E9" s="6" t="s">
        <v>16</v>
      </c>
      <c r="F9" s="12" t="e">
        <f t="shared" ca="1" si="1"/>
        <v>#NAME?</v>
      </c>
    </row>
    <row r="10" spans="1:6" ht="20.100000000000001" customHeight="1" x14ac:dyDescent="0.25">
      <c r="A10" s="2">
        <v>7</v>
      </c>
      <c r="B10" s="3" t="s">
        <v>17</v>
      </c>
      <c r="C10" s="4">
        <v>21</v>
      </c>
      <c r="D10" s="5" t="e">
        <f t="shared" ca="1" si="0"/>
        <v>#NAME?</v>
      </c>
      <c r="E10" s="6" t="s">
        <v>18</v>
      </c>
      <c r="F10" s="7" t="e">
        <f t="shared" ca="1" si="1"/>
        <v>#NAME?</v>
      </c>
    </row>
    <row r="11" spans="1:6" ht="20.100000000000001" customHeight="1" x14ac:dyDescent="0.25">
      <c r="A11" s="8">
        <v>8</v>
      </c>
      <c r="B11" s="9" t="s">
        <v>17</v>
      </c>
      <c r="C11" s="10">
        <v>22</v>
      </c>
      <c r="D11" s="11" t="e">
        <f t="shared" ca="1" si="0"/>
        <v>#NAME?</v>
      </c>
      <c r="E11" s="6" t="s">
        <v>19</v>
      </c>
      <c r="F11" s="12" t="e">
        <f t="shared" ca="1" si="1"/>
        <v>#NAME?</v>
      </c>
    </row>
    <row r="12" spans="1:6" ht="20.100000000000001" customHeight="1" x14ac:dyDescent="0.25">
      <c r="A12" s="2">
        <v>9</v>
      </c>
      <c r="B12" s="3" t="s">
        <v>20</v>
      </c>
      <c r="C12" s="4">
        <v>100</v>
      </c>
      <c r="D12" s="5" t="e">
        <f t="shared" ca="1" si="0"/>
        <v>#NAME?</v>
      </c>
      <c r="E12" s="6" t="s">
        <v>21</v>
      </c>
      <c r="F12" s="7" t="e">
        <f t="shared" ca="1" si="1"/>
        <v>#NAME?</v>
      </c>
    </row>
    <row r="13" spans="1:6" ht="20.100000000000001" customHeight="1" x14ac:dyDescent="0.25">
      <c r="A13" s="8">
        <v>10</v>
      </c>
      <c r="B13" s="9" t="s">
        <v>20</v>
      </c>
      <c r="C13" s="10">
        <v>200</v>
      </c>
      <c r="D13" s="11" t="e">
        <f t="shared" ca="1" si="0"/>
        <v>#NAME?</v>
      </c>
      <c r="E13" s="6" t="s">
        <v>22</v>
      </c>
      <c r="F13" s="12" t="e">
        <f t="shared" ca="1" si="1"/>
        <v>#NAME?</v>
      </c>
    </row>
    <row r="14" spans="1:6" ht="20.100000000000001" customHeight="1" x14ac:dyDescent="0.25">
      <c r="A14" s="2">
        <v>11</v>
      </c>
      <c r="B14" s="3" t="s">
        <v>23</v>
      </c>
      <c r="C14" s="4">
        <v>1000</v>
      </c>
      <c r="D14" s="5" t="e">
        <f t="shared" ca="1" si="0"/>
        <v>#NAME?</v>
      </c>
      <c r="E14" s="6" t="s">
        <v>24</v>
      </c>
      <c r="F14" s="7" t="e">
        <f t="shared" ca="1" si="1"/>
        <v>#NAME?</v>
      </c>
    </row>
    <row r="15" spans="1:6" ht="20.100000000000001" customHeight="1" x14ac:dyDescent="0.25">
      <c r="A15" s="8">
        <v>12</v>
      </c>
      <c r="B15" s="9" t="s">
        <v>23</v>
      </c>
      <c r="C15" s="10">
        <v>2000</v>
      </c>
      <c r="D15" s="11" t="e">
        <f t="shared" ca="1" si="0"/>
        <v>#NAME?</v>
      </c>
      <c r="E15" s="6" t="s">
        <v>25</v>
      </c>
      <c r="F15" s="12" t="e">
        <f t="shared" ca="1" si="1"/>
        <v>#NAME?</v>
      </c>
    </row>
    <row r="16" spans="1:6" ht="20.100000000000001" customHeight="1" x14ac:dyDescent="0.25">
      <c r="A16" s="2">
        <v>13</v>
      </c>
      <c r="B16" s="3" t="s">
        <v>23</v>
      </c>
      <c r="C16" s="4">
        <v>11000</v>
      </c>
      <c r="D16" s="5" t="e">
        <f t="shared" ca="1" si="0"/>
        <v>#NAME?</v>
      </c>
      <c r="E16" s="6" t="s">
        <v>26</v>
      </c>
      <c r="F16" s="7" t="e">
        <f t="shared" ca="1" si="1"/>
        <v>#NAME?</v>
      </c>
    </row>
    <row r="17" spans="1:6" ht="20.100000000000001" customHeight="1" x14ac:dyDescent="0.25">
      <c r="A17" s="8">
        <v>14</v>
      </c>
      <c r="B17" s="9" t="s">
        <v>23</v>
      </c>
      <c r="C17" s="10">
        <v>22000</v>
      </c>
      <c r="D17" s="11" t="e">
        <f t="shared" ca="1" si="0"/>
        <v>#NAME?</v>
      </c>
      <c r="E17" s="6" t="s">
        <v>27</v>
      </c>
      <c r="F17" s="12" t="e">
        <f t="shared" ca="1" si="1"/>
        <v>#NAME?</v>
      </c>
    </row>
    <row r="18" spans="1:6" ht="20.100000000000001" customHeight="1" x14ac:dyDescent="0.25">
      <c r="A18" s="2">
        <v>15</v>
      </c>
      <c r="B18" s="3" t="s">
        <v>28</v>
      </c>
      <c r="C18" s="4">
        <v>1000000</v>
      </c>
      <c r="D18" s="5" t="e">
        <f t="shared" ca="1" si="0"/>
        <v>#NAME?</v>
      </c>
      <c r="E18" s="6" t="s">
        <v>29</v>
      </c>
      <c r="F18" s="7" t="e">
        <f t="shared" ca="1" si="1"/>
        <v>#NAME?</v>
      </c>
    </row>
    <row r="19" spans="1:6" ht="20.100000000000001" customHeight="1" x14ac:dyDescent="0.25">
      <c r="A19" s="8">
        <v>16</v>
      </c>
      <c r="B19" s="9" t="s">
        <v>28</v>
      </c>
      <c r="C19" s="10">
        <v>2000000</v>
      </c>
      <c r="D19" s="11" t="e">
        <f t="shared" ca="1" si="0"/>
        <v>#NAME?</v>
      </c>
      <c r="E19" s="6" t="s">
        <v>30</v>
      </c>
      <c r="F19" s="12" t="e">
        <f t="shared" ca="1" si="1"/>
        <v>#NAME?</v>
      </c>
    </row>
    <row r="20" spans="1:6" ht="20.100000000000001" customHeight="1" x14ac:dyDescent="0.25">
      <c r="A20" s="2">
        <v>17</v>
      </c>
      <c r="B20" s="3" t="s">
        <v>31</v>
      </c>
      <c r="C20" s="4">
        <v>0.01</v>
      </c>
      <c r="D20" s="5" t="e">
        <f t="shared" ca="1" si="0"/>
        <v>#NAME?</v>
      </c>
      <c r="E20" s="6" t="s">
        <v>32</v>
      </c>
      <c r="F20" s="7" t="e">
        <f t="shared" ca="1" si="1"/>
        <v>#NAME?</v>
      </c>
    </row>
    <row r="21" spans="1:6" ht="20.100000000000001" customHeight="1" x14ac:dyDescent="0.25">
      <c r="A21" s="8">
        <v>18</v>
      </c>
      <c r="B21" s="9" t="s">
        <v>31</v>
      </c>
      <c r="C21" s="10">
        <v>0.02</v>
      </c>
      <c r="D21" s="11" t="e">
        <f t="shared" ca="1" si="0"/>
        <v>#NAME?</v>
      </c>
      <c r="E21" s="6" t="s">
        <v>33</v>
      </c>
      <c r="F21" s="12" t="e">
        <f t="shared" ca="1" si="1"/>
        <v>#NAME?</v>
      </c>
    </row>
    <row r="22" spans="1:6" ht="20.100000000000001" customHeight="1" x14ac:dyDescent="0.25">
      <c r="A22" s="2">
        <v>19</v>
      </c>
      <c r="B22" s="3" t="s">
        <v>31</v>
      </c>
      <c r="C22" s="4">
        <v>0.05</v>
      </c>
      <c r="D22" s="5" t="e">
        <f t="shared" ca="1" si="0"/>
        <v>#NAME?</v>
      </c>
      <c r="E22" s="6" t="s">
        <v>34</v>
      </c>
      <c r="F22" s="7" t="e">
        <f t="shared" ca="1" si="1"/>
        <v>#NAME?</v>
      </c>
    </row>
    <row r="23" spans="1:6" ht="20.100000000000001" customHeight="1" x14ac:dyDescent="0.25">
      <c r="A23" s="8">
        <v>20</v>
      </c>
      <c r="B23" s="9" t="s">
        <v>31</v>
      </c>
      <c r="C23" s="10">
        <v>0.11</v>
      </c>
      <c r="D23" s="11" t="e">
        <f t="shared" ca="1" si="0"/>
        <v>#NAME?</v>
      </c>
      <c r="E23" s="6" t="s">
        <v>35</v>
      </c>
      <c r="F23" s="12" t="e">
        <f t="shared" ca="1" si="1"/>
        <v>#NAME?</v>
      </c>
    </row>
    <row r="24" spans="1:6" ht="20.100000000000001" customHeight="1" x14ac:dyDescent="0.25">
      <c r="A24" s="2">
        <v>21</v>
      </c>
      <c r="B24" s="3" t="s">
        <v>31</v>
      </c>
      <c r="C24" s="4">
        <v>0.21</v>
      </c>
      <c r="D24" s="5" t="e">
        <f t="shared" ca="1" si="0"/>
        <v>#NAME?</v>
      </c>
      <c r="E24" s="6" t="s">
        <v>36</v>
      </c>
      <c r="F24" s="7" t="e">
        <f t="shared" ca="1" si="1"/>
        <v>#NAME?</v>
      </c>
    </row>
    <row r="25" spans="1:6" ht="20.100000000000001" customHeight="1" x14ac:dyDescent="0.25">
      <c r="A25" s="8">
        <v>22</v>
      </c>
      <c r="B25" s="9" t="s">
        <v>31</v>
      </c>
      <c r="C25" s="10">
        <v>1.01</v>
      </c>
      <c r="D25" s="11" t="e">
        <f t="shared" ca="1" si="0"/>
        <v>#NAME?</v>
      </c>
      <c r="E25" s="6" t="s">
        <v>37</v>
      </c>
      <c r="F25" s="12" t="e">
        <f t="shared" ca="1" si="1"/>
        <v>#NAME?</v>
      </c>
    </row>
    <row r="26" spans="1:6" ht="20.100000000000001" customHeight="1" x14ac:dyDescent="0.25">
      <c r="A26" s="2">
        <v>23</v>
      </c>
      <c r="B26" s="3" t="s">
        <v>31</v>
      </c>
      <c r="C26" s="4">
        <v>1.02</v>
      </c>
      <c r="D26" s="5" t="e">
        <f t="shared" ca="1" si="0"/>
        <v>#NAME?</v>
      </c>
      <c r="E26" s="6" t="s">
        <v>38</v>
      </c>
      <c r="F26" s="7" t="e">
        <f t="shared" ca="1" si="1"/>
        <v>#NAME?</v>
      </c>
    </row>
    <row r="27" spans="1:6" ht="20.100000000000001" customHeight="1" x14ac:dyDescent="0.25">
      <c r="A27" s="8">
        <v>24</v>
      </c>
      <c r="B27" s="9" t="s">
        <v>31</v>
      </c>
      <c r="C27" s="10">
        <v>1.1100000000000001</v>
      </c>
      <c r="D27" s="11" t="e">
        <f t="shared" ca="1" si="0"/>
        <v>#NAME?</v>
      </c>
      <c r="E27" s="6" t="s">
        <v>39</v>
      </c>
      <c r="F27" s="12" t="e">
        <f t="shared" ca="1" si="1"/>
        <v>#NAME?</v>
      </c>
    </row>
    <row r="28" spans="1:6" ht="20.100000000000001" customHeight="1" x14ac:dyDescent="0.25">
      <c r="A28" s="2">
        <v>25</v>
      </c>
      <c r="B28" s="3" t="s">
        <v>31</v>
      </c>
      <c r="C28" s="4">
        <v>1234.67</v>
      </c>
      <c r="D28" s="5" t="e">
        <f t="shared" ca="1" si="0"/>
        <v>#NAME?</v>
      </c>
      <c r="E28" s="6" t="s">
        <v>40</v>
      </c>
      <c r="F28" s="7" t="e">
        <f t="shared" ca="1" si="1"/>
        <v>#NAME?</v>
      </c>
    </row>
    <row r="29" spans="1:6" ht="20.100000000000001" customHeight="1" x14ac:dyDescent="0.25">
      <c r="A29" s="8">
        <v>26</v>
      </c>
      <c r="B29" s="9" t="s">
        <v>41</v>
      </c>
      <c r="C29" s="10">
        <v>1.9990000000000001</v>
      </c>
      <c r="D29" s="11" t="e">
        <f t="shared" ca="1" si="0"/>
        <v>#NAME?</v>
      </c>
      <c r="E29" s="6" t="s">
        <v>12</v>
      </c>
      <c r="F29" s="12" t="e">
        <f t="shared" ca="1" si="1"/>
        <v>#NAME?</v>
      </c>
    </row>
    <row r="30" spans="1:6" ht="20.100000000000001" customHeight="1" x14ac:dyDescent="0.25">
      <c r="A30" s="2">
        <v>27</v>
      </c>
      <c r="B30" s="3" t="s">
        <v>42</v>
      </c>
      <c r="C30" s="4">
        <v>999999999.99000001</v>
      </c>
      <c r="D30" s="5" t="e">
        <f t="shared" ca="1" si="0"/>
        <v>#NAME?</v>
      </c>
      <c r="E30" s="6" t="s">
        <v>43</v>
      </c>
      <c r="F30" s="7" t="e">
        <f t="shared" ca="1" si="1"/>
        <v>#NAME?</v>
      </c>
    </row>
    <row r="31" spans="1:6" ht="20.100000000000001" customHeight="1" x14ac:dyDescent="0.25">
      <c r="A31" s="8">
        <v>28</v>
      </c>
      <c r="B31" s="9" t="s">
        <v>44</v>
      </c>
      <c r="C31" s="10">
        <v>-1</v>
      </c>
      <c r="D31" s="11" t="e">
        <f t="shared" ca="1" si="0"/>
        <v>#NAME?</v>
      </c>
      <c r="E31" s="6" t="s">
        <v>45</v>
      </c>
      <c r="F31" s="12" t="e">
        <f t="shared" ca="1" si="1"/>
        <v>#NAME?</v>
      </c>
    </row>
    <row r="32" spans="1:6" ht="20.100000000000001" customHeight="1" x14ac:dyDescent="0.25">
      <c r="A32" s="2">
        <v>29</v>
      </c>
      <c r="B32" s="3" t="s">
        <v>44</v>
      </c>
      <c r="C32" s="4">
        <v>1000000000</v>
      </c>
      <c r="D32" s="5" t="e">
        <f t="shared" ca="1" si="0"/>
        <v>#NAME?</v>
      </c>
      <c r="E32" s="6" t="s">
        <v>46</v>
      </c>
      <c r="F32" s="7" t="e">
        <f t="shared" ca="1" si="1"/>
        <v>#NAME?</v>
      </c>
    </row>
    <row r="33" spans="1:6" x14ac:dyDescent="0.25">
      <c r="A33" s="18" t="s">
        <v>47</v>
      </c>
      <c r="B33" s="17"/>
      <c r="C33" s="17"/>
      <c r="D33" s="13">
        <f ca="1">COUNTIF(F4:F32,"✅ OK")</f>
        <v>0</v>
      </c>
      <c r="E33" s="14" t="s">
        <v>48</v>
      </c>
      <c r="F33" s="15">
        <f ca="1">COUNTIF(F4:F32,"❌ SPRAWDŹ")</f>
        <v>0</v>
      </c>
    </row>
  </sheetData>
  <mergeCells count="3">
    <mergeCell ref="A2:F2"/>
    <mergeCell ref="A33:C3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F12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14" customWidth="1"/>
    <col min="3" max="3" width="18" customWidth="1"/>
    <col min="4" max="5" width="62" customWidth="1"/>
    <col min="6" max="6" width="14" customWidth="1"/>
  </cols>
  <sheetData>
    <row r="1" spans="1:6" ht="30" customHeight="1" x14ac:dyDescent="0.25">
      <c r="A1" s="19" t="s">
        <v>49</v>
      </c>
      <c r="B1" s="17"/>
      <c r="C1" s="17"/>
      <c r="D1" s="17"/>
      <c r="E1" s="17"/>
      <c r="F1" s="17"/>
    </row>
    <row r="2" spans="1:6" ht="18" customHeight="1" x14ac:dyDescent="0.25">
      <c r="A2" s="16" t="s">
        <v>1</v>
      </c>
      <c r="B2" s="17"/>
      <c r="C2" s="17"/>
      <c r="D2" s="17"/>
      <c r="E2" s="17"/>
      <c r="F2" s="17"/>
    </row>
    <row r="3" spans="1:6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20.100000000000001" customHeight="1" x14ac:dyDescent="0.25">
      <c r="A4" s="2">
        <v>1</v>
      </c>
      <c r="B4" s="3" t="s">
        <v>8</v>
      </c>
      <c r="C4" s="4">
        <v>0</v>
      </c>
      <c r="D4" s="5" t="e">
        <f t="shared" ref="D4:D11" ca="1" si="0">PL_TEKST_FAKTURA(C4,"EUR")</f>
        <v>#NAME?</v>
      </c>
      <c r="E4" s="6" t="s">
        <v>50</v>
      </c>
      <c r="F4" s="7" t="e">
        <f t="shared" ref="F4:F11" ca="1" si="1">IF(D4=E4,"✅ OK","❌ SPRAWDŹ")</f>
        <v>#NAME?</v>
      </c>
    </row>
    <row r="5" spans="1:6" ht="20.100000000000001" customHeight="1" x14ac:dyDescent="0.25">
      <c r="A5" s="8">
        <v>2</v>
      </c>
      <c r="B5" s="9" t="s">
        <v>10</v>
      </c>
      <c r="C5" s="10">
        <v>1</v>
      </c>
      <c r="D5" s="11" t="e">
        <f t="shared" ca="1" si="0"/>
        <v>#NAME?</v>
      </c>
      <c r="E5" s="6" t="s">
        <v>51</v>
      </c>
      <c r="F5" s="12" t="e">
        <f t="shared" ca="1" si="1"/>
        <v>#NAME?</v>
      </c>
    </row>
    <row r="6" spans="1:6" ht="20.100000000000001" customHeight="1" x14ac:dyDescent="0.25">
      <c r="A6" s="2">
        <v>3</v>
      </c>
      <c r="B6" s="3" t="s">
        <v>10</v>
      </c>
      <c r="C6" s="4">
        <v>2</v>
      </c>
      <c r="D6" s="5" t="e">
        <f t="shared" ca="1" si="0"/>
        <v>#NAME?</v>
      </c>
      <c r="E6" s="6" t="s">
        <v>52</v>
      </c>
      <c r="F6" s="7" t="e">
        <f t="shared" ca="1" si="1"/>
        <v>#NAME?</v>
      </c>
    </row>
    <row r="7" spans="1:6" ht="20.100000000000001" customHeight="1" x14ac:dyDescent="0.25">
      <c r="A7" s="8">
        <v>4</v>
      </c>
      <c r="B7" s="9" t="s">
        <v>10</v>
      </c>
      <c r="C7" s="10">
        <v>5</v>
      </c>
      <c r="D7" s="11" t="e">
        <f t="shared" ca="1" si="0"/>
        <v>#NAME?</v>
      </c>
      <c r="E7" s="6" t="s">
        <v>53</v>
      </c>
      <c r="F7" s="12" t="e">
        <f t="shared" ca="1" si="1"/>
        <v>#NAME?</v>
      </c>
    </row>
    <row r="8" spans="1:6" ht="20.100000000000001" customHeight="1" x14ac:dyDescent="0.25">
      <c r="A8" s="2">
        <v>5</v>
      </c>
      <c r="B8" s="3" t="s">
        <v>31</v>
      </c>
      <c r="C8" s="4">
        <v>0.01</v>
      </c>
      <c r="D8" s="5" t="e">
        <f t="shared" ca="1" si="0"/>
        <v>#NAME?</v>
      </c>
      <c r="E8" s="6" t="s">
        <v>54</v>
      </c>
      <c r="F8" s="7" t="e">
        <f t="shared" ca="1" si="1"/>
        <v>#NAME?</v>
      </c>
    </row>
    <row r="9" spans="1:6" ht="20.100000000000001" customHeight="1" x14ac:dyDescent="0.25">
      <c r="A9" s="8">
        <v>6</v>
      </c>
      <c r="B9" s="9" t="s">
        <v>31</v>
      </c>
      <c r="C9" s="10">
        <v>0.02</v>
      </c>
      <c r="D9" s="11" t="e">
        <f t="shared" ca="1" si="0"/>
        <v>#NAME?</v>
      </c>
      <c r="E9" s="6" t="s">
        <v>55</v>
      </c>
      <c r="F9" s="12" t="e">
        <f t="shared" ca="1" si="1"/>
        <v>#NAME?</v>
      </c>
    </row>
    <row r="10" spans="1:6" ht="20.100000000000001" customHeight="1" x14ac:dyDescent="0.25">
      <c r="A10" s="2">
        <v>7</v>
      </c>
      <c r="B10" s="3" t="s">
        <v>31</v>
      </c>
      <c r="C10" s="4">
        <v>0.05</v>
      </c>
      <c r="D10" s="5" t="e">
        <f t="shared" ca="1" si="0"/>
        <v>#NAME?</v>
      </c>
      <c r="E10" s="6" t="s">
        <v>56</v>
      </c>
      <c r="F10" s="7" t="e">
        <f t="shared" ca="1" si="1"/>
        <v>#NAME?</v>
      </c>
    </row>
    <row r="11" spans="1:6" ht="20.100000000000001" customHeight="1" x14ac:dyDescent="0.25">
      <c r="A11" s="8">
        <v>8</v>
      </c>
      <c r="B11" s="9" t="s">
        <v>31</v>
      </c>
      <c r="C11" s="10">
        <v>1234.67</v>
      </c>
      <c r="D11" s="11" t="e">
        <f t="shared" ca="1" si="0"/>
        <v>#NAME?</v>
      </c>
      <c r="E11" s="6" t="s">
        <v>57</v>
      </c>
      <c r="F11" s="12" t="e">
        <f t="shared" ca="1" si="1"/>
        <v>#NAME?</v>
      </c>
    </row>
    <row r="12" spans="1:6" x14ac:dyDescent="0.25">
      <c r="A12" s="18" t="s">
        <v>47</v>
      </c>
      <c r="B12" s="17"/>
      <c r="C12" s="17"/>
      <c r="D12" s="13">
        <f ca="1">COUNTIF(F4:F11,"✅ OK")</f>
        <v>0</v>
      </c>
      <c r="E12" s="14" t="s">
        <v>48</v>
      </c>
      <c r="F12" s="15">
        <f ca="1">COUNTIF(F4:F11,"❌ SPRAWDŹ")</f>
        <v>0</v>
      </c>
    </row>
  </sheetData>
  <mergeCells count="3">
    <mergeCell ref="A12:C12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F12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14" customWidth="1"/>
    <col min="3" max="3" width="18" customWidth="1"/>
    <col min="4" max="5" width="62" customWidth="1"/>
    <col min="6" max="6" width="14" customWidth="1"/>
  </cols>
  <sheetData>
    <row r="1" spans="1:6" ht="30" customHeight="1" x14ac:dyDescent="0.25">
      <c r="A1" s="19" t="s">
        <v>58</v>
      </c>
      <c r="B1" s="17"/>
      <c r="C1" s="17"/>
      <c r="D1" s="17"/>
      <c r="E1" s="17"/>
      <c r="F1" s="17"/>
    </row>
    <row r="2" spans="1:6" ht="18" customHeight="1" x14ac:dyDescent="0.25">
      <c r="A2" s="16" t="s">
        <v>1</v>
      </c>
      <c r="B2" s="17"/>
      <c r="C2" s="17"/>
      <c r="D2" s="17"/>
      <c r="E2" s="17"/>
      <c r="F2" s="17"/>
    </row>
    <row r="3" spans="1:6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20.100000000000001" customHeight="1" x14ac:dyDescent="0.25">
      <c r="A4" s="2">
        <v>1</v>
      </c>
      <c r="B4" s="3" t="s">
        <v>8</v>
      </c>
      <c r="C4" s="4">
        <v>0</v>
      </c>
      <c r="D4" s="5" t="e">
        <f t="shared" ref="D4:D11" ca="1" si="0">PL_TEKST_FAKTURA(C4,"USD")</f>
        <v>#NAME?</v>
      </c>
      <c r="E4" s="6" t="s">
        <v>59</v>
      </c>
      <c r="F4" s="7" t="e">
        <f t="shared" ref="F4:F11" ca="1" si="1">IF(D4=E4,"✅ OK","❌ SPRAWDŹ")</f>
        <v>#NAME?</v>
      </c>
    </row>
    <row r="5" spans="1:6" ht="20.100000000000001" customHeight="1" x14ac:dyDescent="0.25">
      <c r="A5" s="8">
        <v>2</v>
      </c>
      <c r="B5" s="9" t="s">
        <v>10</v>
      </c>
      <c r="C5" s="10">
        <v>1</v>
      </c>
      <c r="D5" s="11" t="e">
        <f t="shared" ca="1" si="0"/>
        <v>#NAME?</v>
      </c>
      <c r="E5" s="6" t="s">
        <v>60</v>
      </c>
      <c r="F5" s="12" t="e">
        <f t="shared" ca="1" si="1"/>
        <v>#NAME?</v>
      </c>
    </row>
    <row r="6" spans="1:6" ht="20.100000000000001" customHeight="1" x14ac:dyDescent="0.25">
      <c r="A6" s="2">
        <v>3</v>
      </c>
      <c r="B6" s="3" t="s">
        <v>10</v>
      </c>
      <c r="C6" s="4">
        <v>2</v>
      </c>
      <c r="D6" s="5" t="e">
        <f t="shared" ca="1" si="0"/>
        <v>#NAME?</v>
      </c>
      <c r="E6" s="6" t="s">
        <v>61</v>
      </c>
      <c r="F6" s="7" t="e">
        <f t="shared" ca="1" si="1"/>
        <v>#NAME?</v>
      </c>
    </row>
    <row r="7" spans="1:6" ht="20.100000000000001" customHeight="1" x14ac:dyDescent="0.25">
      <c r="A7" s="8">
        <v>4</v>
      </c>
      <c r="B7" s="9" t="s">
        <v>10</v>
      </c>
      <c r="C7" s="10">
        <v>5</v>
      </c>
      <c r="D7" s="11" t="e">
        <f t="shared" ca="1" si="0"/>
        <v>#NAME?</v>
      </c>
      <c r="E7" s="6" t="s">
        <v>62</v>
      </c>
      <c r="F7" s="12" t="e">
        <f t="shared" ca="1" si="1"/>
        <v>#NAME?</v>
      </c>
    </row>
    <row r="8" spans="1:6" ht="20.100000000000001" customHeight="1" x14ac:dyDescent="0.25">
      <c r="A8" s="2">
        <v>5</v>
      </c>
      <c r="B8" s="3" t="s">
        <v>31</v>
      </c>
      <c r="C8" s="4">
        <v>0.01</v>
      </c>
      <c r="D8" s="5" t="e">
        <f t="shared" ca="1" si="0"/>
        <v>#NAME?</v>
      </c>
      <c r="E8" s="6" t="s">
        <v>63</v>
      </c>
      <c r="F8" s="7" t="e">
        <f t="shared" ca="1" si="1"/>
        <v>#NAME?</v>
      </c>
    </row>
    <row r="9" spans="1:6" ht="20.100000000000001" customHeight="1" x14ac:dyDescent="0.25">
      <c r="A9" s="8">
        <v>6</v>
      </c>
      <c r="B9" s="9" t="s">
        <v>31</v>
      </c>
      <c r="C9" s="10">
        <v>0.02</v>
      </c>
      <c r="D9" s="11" t="e">
        <f t="shared" ca="1" si="0"/>
        <v>#NAME?</v>
      </c>
      <c r="E9" s="6" t="s">
        <v>64</v>
      </c>
      <c r="F9" s="12" t="e">
        <f t="shared" ca="1" si="1"/>
        <v>#NAME?</v>
      </c>
    </row>
    <row r="10" spans="1:6" ht="20.100000000000001" customHeight="1" x14ac:dyDescent="0.25">
      <c r="A10" s="2">
        <v>7</v>
      </c>
      <c r="B10" s="3" t="s">
        <v>31</v>
      </c>
      <c r="C10" s="4">
        <v>0.05</v>
      </c>
      <c r="D10" s="5" t="e">
        <f t="shared" ca="1" si="0"/>
        <v>#NAME?</v>
      </c>
      <c r="E10" s="6" t="s">
        <v>65</v>
      </c>
      <c r="F10" s="7" t="e">
        <f t="shared" ca="1" si="1"/>
        <v>#NAME?</v>
      </c>
    </row>
    <row r="11" spans="1:6" ht="20.100000000000001" customHeight="1" x14ac:dyDescent="0.25">
      <c r="A11" s="8">
        <v>8</v>
      </c>
      <c r="B11" s="9" t="s">
        <v>31</v>
      </c>
      <c r="C11" s="10">
        <v>1234.67</v>
      </c>
      <c r="D11" s="11" t="e">
        <f t="shared" ca="1" si="0"/>
        <v>#NAME?</v>
      </c>
      <c r="E11" s="6" t="s">
        <v>66</v>
      </c>
      <c r="F11" s="12" t="e">
        <f t="shared" ca="1" si="1"/>
        <v>#NAME?</v>
      </c>
    </row>
    <row r="12" spans="1:6" x14ac:dyDescent="0.25">
      <c r="A12" s="18" t="s">
        <v>47</v>
      </c>
      <c r="B12" s="17"/>
      <c r="C12" s="17"/>
      <c r="D12" s="13">
        <f ca="1">COUNTIF(F4:F11,"✅ OK")</f>
        <v>0</v>
      </c>
      <c r="E12" s="14" t="s">
        <v>48</v>
      </c>
      <c r="F12" s="15">
        <f ca="1">COUNTIF(F4:F11,"❌ SPRAWDŹ")</f>
        <v>0</v>
      </c>
    </row>
  </sheetData>
  <mergeCells count="3">
    <mergeCell ref="A12:C12"/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F12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5" customWidth="1"/>
    <col min="2" max="2" width="14" customWidth="1"/>
    <col min="3" max="3" width="18" customWidth="1"/>
    <col min="4" max="5" width="62" customWidth="1"/>
    <col min="6" max="6" width="14" customWidth="1"/>
  </cols>
  <sheetData>
    <row r="1" spans="1:6" ht="30" customHeight="1" x14ac:dyDescent="0.25">
      <c r="A1" s="19" t="s">
        <v>67</v>
      </c>
      <c r="B1" s="17"/>
      <c r="C1" s="17"/>
      <c r="D1" s="17"/>
      <c r="E1" s="17"/>
      <c r="F1" s="17"/>
    </row>
    <row r="2" spans="1:6" ht="18" customHeight="1" x14ac:dyDescent="0.25">
      <c r="A2" s="16" t="s">
        <v>1</v>
      </c>
      <c r="B2" s="17"/>
      <c r="C2" s="17"/>
      <c r="D2" s="17"/>
      <c r="E2" s="17"/>
      <c r="F2" s="17"/>
    </row>
    <row r="3" spans="1:6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20.100000000000001" customHeight="1" x14ac:dyDescent="0.25">
      <c r="A4" s="2">
        <v>1</v>
      </c>
      <c r="B4" s="3" t="s">
        <v>8</v>
      </c>
      <c r="C4" s="4">
        <v>0</v>
      </c>
      <c r="D4" s="5" t="e">
        <f t="shared" ref="D4:D11" ca="1" si="0">PL_TEKST_FAKTURA(C4,"GBP")</f>
        <v>#NAME?</v>
      </c>
      <c r="E4" s="6" t="s">
        <v>68</v>
      </c>
      <c r="F4" s="7" t="e">
        <f t="shared" ref="F4:F11" ca="1" si="1">IF(D4=E4,"✅ OK","❌ SPRAWDŹ")</f>
        <v>#NAME?</v>
      </c>
    </row>
    <row r="5" spans="1:6" ht="20.100000000000001" customHeight="1" x14ac:dyDescent="0.25">
      <c r="A5" s="8">
        <v>2</v>
      </c>
      <c r="B5" s="9" t="s">
        <v>10</v>
      </c>
      <c r="C5" s="10">
        <v>1</v>
      </c>
      <c r="D5" s="11" t="e">
        <f t="shared" ca="1" si="0"/>
        <v>#NAME?</v>
      </c>
      <c r="E5" s="6" t="s">
        <v>69</v>
      </c>
      <c r="F5" s="12" t="e">
        <f t="shared" ca="1" si="1"/>
        <v>#NAME?</v>
      </c>
    </row>
    <row r="6" spans="1:6" ht="20.100000000000001" customHeight="1" x14ac:dyDescent="0.25">
      <c r="A6" s="2">
        <v>3</v>
      </c>
      <c r="B6" s="3" t="s">
        <v>10</v>
      </c>
      <c r="C6" s="4">
        <v>2</v>
      </c>
      <c r="D6" s="5" t="e">
        <f t="shared" ca="1" si="0"/>
        <v>#NAME?</v>
      </c>
      <c r="E6" s="6" t="s">
        <v>70</v>
      </c>
      <c r="F6" s="7" t="e">
        <f t="shared" ca="1" si="1"/>
        <v>#NAME?</v>
      </c>
    </row>
    <row r="7" spans="1:6" ht="20.100000000000001" customHeight="1" x14ac:dyDescent="0.25">
      <c r="A7" s="8">
        <v>4</v>
      </c>
      <c r="B7" s="9" t="s">
        <v>10</v>
      </c>
      <c r="C7" s="10">
        <v>5</v>
      </c>
      <c r="D7" s="11" t="e">
        <f t="shared" ca="1" si="0"/>
        <v>#NAME?</v>
      </c>
      <c r="E7" s="6" t="s">
        <v>71</v>
      </c>
      <c r="F7" s="12" t="e">
        <f t="shared" ca="1" si="1"/>
        <v>#NAME?</v>
      </c>
    </row>
    <row r="8" spans="1:6" ht="20.100000000000001" customHeight="1" x14ac:dyDescent="0.25">
      <c r="A8" s="2">
        <v>5</v>
      </c>
      <c r="B8" s="3" t="s">
        <v>31</v>
      </c>
      <c r="C8" s="4">
        <v>0.01</v>
      </c>
      <c r="D8" s="5" t="e">
        <f t="shared" ca="1" si="0"/>
        <v>#NAME?</v>
      </c>
      <c r="E8" s="6" t="s">
        <v>72</v>
      </c>
      <c r="F8" s="7" t="e">
        <f t="shared" ca="1" si="1"/>
        <v>#NAME?</v>
      </c>
    </row>
    <row r="9" spans="1:6" ht="20.100000000000001" customHeight="1" x14ac:dyDescent="0.25">
      <c r="A9" s="8">
        <v>6</v>
      </c>
      <c r="B9" s="9" t="s">
        <v>31</v>
      </c>
      <c r="C9" s="10">
        <v>0.02</v>
      </c>
      <c r="D9" s="11" t="e">
        <f t="shared" ca="1" si="0"/>
        <v>#NAME?</v>
      </c>
      <c r="E9" s="6" t="s">
        <v>73</v>
      </c>
      <c r="F9" s="12" t="e">
        <f t="shared" ca="1" si="1"/>
        <v>#NAME?</v>
      </c>
    </row>
    <row r="10" spans="1:6" ht="20.100000000000001" customHeight="1" x14ac:dyDescent="0.25">
      <c r="A10" s="2">
        <v>7</v>
      </c>
      <c r="B10" s="3" t="s">
        <v>31</v>
      </c>
      <c r="C10" s="4">
        <v>0.05</v>
      </c>
      <c r="D10" s="5" t="e">
        <f t="shared" ca="1" si="0"/>
        <v>#NAME?</v>
      </c>
      <c r="E10" s="6" t="s">
        <v>74</v>
      </c>
      <c r="F10" s="7" t="e">
        <f t="shared" ca="1" si="1"/>
        <v>#NAME?</v>
      </c>
    </row>
    <row r="11" spans="1:6" ht="20.100000000000001" customHeight="1" x14ac:dyDescent="0.25">
      <c r="A11" s="8">
        <v>8</v>
      </c>
      <c r="B11" s="9" t="s">
        <v>31</v>
      </c>
      <c r="C11" s="10">
        <v>1234.67</v>
      </c>
      <c r="D11" s="11" t="e">
        <f t="shared" ca="1" si="0"/>
        <v>#NAME?</v>
      </c>
      <c r="E11" s="6" t="s">
        <v>75</v>
      </c>
      <c r="F11" s="12" t="e">
        <f t="shared" ca="1" si="1"/>
        <v>#NAME?</v>
      </c>
    </row>
    <row r="12" spans="1:6" x14ac:dyDescent="0.25">
      <c r="A12" s="18" t="s">
        <v>47</v>
      </c>
      <c r="B12" s="17"/>
      <c r="C12" s="17"/>
      <c r="D12" s="13">
        <f ca="1">COUNTIF(F4:F11,"✅ OK")</f>
        <v>0</v>
      </c>
      <c r="E12" s="14" t="s">
        <v>48</v>
      </c>
      <c r="F12" s="15">
        <f ca="1">COUNTIF(F4:F11,"❌ SPRAWDŹ")</f>
        <v>0</v>
      </c>
    </row>
  </sheetData>
  <mergeCells count="3">
    <mergeCell ref="A12:C12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PLN</vt:lpstr>
      <vt:lpstr>EUR</vt:lpstr>
      <vt:lpstr>USD</vt:lpstr>
      <vt:lpstr>GBP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Lukasz Zukowski</cp:lastModifiedBy>
  <dcterms:created xsi:type="dcterms:W3CDTF">2026-03-26T09:37:38Z</dcterms:created>
  <dcterms:modified xsi:type="dcterms:W3CDTF">2026-03-26T09:40:49Z</dcterms:modified>
</cp:coreProperties>
</file>